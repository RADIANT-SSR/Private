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scope Datasheet" sheetId="1" state="visible" r:id="rId1"/>
    <sheet xmlns:r="http://schemas.openxmlformats.org/officeDocument/2006/relationships" name="FPA Datasheet" sheetId="2" state="visible" r:id="rId2"/>
    <sheet xmlns:r="http://schemas.openxmlformats.org/officeDocument/2006/relationships" name="Mission Geometry" sheetId="3" state="visible" r:id="rId3"/>
    <sheet xmlns:r="http://schemas.openxmlformats.org/officeDocument/2006/relationships" name="Target Signature" sheetId="4" state="visible" r:id="rId4"/>
    <sheet xmlns:r="http://schemas.openxmlformats.org/officeDocument/2006/relationships" name="Integration Sweep" sheetId="5" state="visible" r:id="rId5"/>
    <sheet xmlns:r="http://schemas.openxmlformats.org/officeDocument/2006/relationships" name="Zenith Swe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72" customWidth="1" min="1" max="1"/>
    <col width="9" customWidth="1" min="2" max="2"/>
    <col width="8" customWidth="1" min="3" max="3"/>
    <col width="44" customWidth="1" min="4" max="4"/>
  </cols>
  <sheetData>
    <row r="1">
      <c r="A1" s="1" t="inlineStr">
        <is>
          <t>SDA-500 MWIR space-surveillance telescope</t>
        </is>
      </c>
    </row>
    <row r="2">
      <c r="A2" s="2" t="inlineStr">
        <is>
          <t>Vendor datasheet extract - dimensions in mm, transmission in %, temperatures in deg C</t>
        </is>
      </c>
    </row>
    <row r="3"/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t="inlineStr">
        <is>
          <t>Entrance pupil diameter</t>
        </is>
      </c>
      <c r="B5" t="n">
        <v>350</v>
      </c>
      <c r="C5" t="inlineStr">
        <is>
          <t>mm</t>
        </is>
      </c>
      <c r="D5" t="inlineStr">
        <is>
          <t>Cassegrain primary, clear aperture</t>
        </is>
      </c>
    </row>
    <row r="6">
      <c r="A6" t="inlineStr">
        <is>
          <t>Effective focal length</t>
        </is>
      </c>
      <c r="B6" t="n">
        <v>2100</v>
      </c>
      <c r="C6" t="inlineStr">
        <is>
          <t>mm</t>
        </is>
      </c>
      <c r="D6" t="inlineStr">
        <is>
          <t>f/6.0</t>
        </is>
      </c>
    </row>
    <row r="7">
      <c r="A7" t="inlineStr">
        <is>
          <t>f-number</t>
        </is>
      </c>
      <c r="B7" t="n">
        <v>6</v>
      </c>
      <c r="C7" t="inlineStr">
        <is>
          <t>--</t>
        </is>
      </c>
      <c r="D7" t="inlineStr">
        <is>
          <t>EFL / EPD</t>
        </is>
      </c>
    </row>
    <row r="8">
      <c r="A8" t="inlineStr">
        <is>
          <t>Central obscuration</t>
        </is>
      </c>
      <c r="B8" t="n">
        <v>25</v>
      </c>
      <c r="C8" t="inlineStr">
        <is>
          <t>%</t>
        </is>
      </c>
      <c r="D8" t="inlineStr">
        <is>
          <t>Secondary + baffle, linear diameter ratio</t>
        </is>
      </c>
    </row>
    <row r="9">
      <c r="A9" t="inlineStr">
        <is>
          <t>Optical transmission (in band)</t>
        </is>
      </c>
      <c r="B9" t="n">
        <v>60</v>
      </c>
      <c r="C9" t="inlineStr">
        <is>
          <t>%</t>
        </is>
      </c>
      <c r="D9" t="inlineStr">
        <is>
          <t>6 surfaces + cold filter, 3.5-5.0 um</t>
        </is>
      </c>
    </row>
    <row r="10">
      <c r="A10" t="inlineStr">
        <is>
          <t>WFE RMS</t>
        </is>
      </c>
      <c r="B10" t="n">
        <v>0.05</v>
      </c>
      <c r="C10" t="inlineStr">
        <is>
          <t>waves</t>
        </is>
      </c>
      <c r="D10" t="inlineStr">
        <is>
          <t>At 4.25 um, on-axis, end of life</t>
        </is>
      </c>
    </row>
    <row r="11">
      <c r="A11" t="inlineStr">
        <is>
          <t>Optical bench temperature</t>
        </is>
      </c>
      <c r="B11" t="n">
        <v>-93.15000000000001</v>
      </c>
      <c r="C11" t="inlineStr">
        <is>
          <t>deg C</t>
        </is>
      </c>
      <c r="D11" t="inlineStr">
        <is>
          <t>Radiatively cooled aft optics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72" customWidth="1" min="1" max="1"/>
    <col width="14" customWidth="1" min="2" max="2"/>
    <col width="9" customWidth="1" min="3" max="3"/>
    <col width="43" customWidth="1" min="4" max="4"/>
  </cols>
  <sheetData>
    <row r="1">
      <c r="A1" s="1" t="inlineStr">
        <is>
          <t>MWIR HgCdTe FPA, 1024 x 1024</t>
        </is>
      </c>
    </row>
    <row r="2">
      <c r="A2" s="2" t="inlineStr">
        <is>
          <t>FPA vendor datasheet - pitch in um, QE in %, well in ke-, integration time in ms</t>
        </is>
      </c>
    </row>
    <row r="3"/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t="inlineStr">
        <is>
          <t>Pixel pitch</t>
        </is>
      </c>
      <c r="B5" t="n">
        <v>18</v>
      </c>
      <c r="C5" t="inlineStr">
        <is>
          <t>um</t>
        </is>
      </c>
      <c r="D5" t="inlineStr">
        <is>
          <t>Square pixel</t>
        </is>
      </c>
    </row>
    <row r="6">
      <c r="A6" t="inlineStr">
        <is>
          <t>Array format (cross x along)</t>
        </is>
      </c>
      <c r="B6" t="inlineStr">
        <is>
          <t>1024 x 1024</t>
        </is>
      </c>
      <c r="C6" t="inlineStr">
        <is>
          <t>--</t>
        </is>
      </c>
      <c r="D6" t="inlineStr">
        <is>
          <t>Staring format</t>
        </is>
      </c>
    </row>
    <row r="7">
      <c r="A7" t="inlineStr">
        <is>
          <t>Quantum efficiency</t>
        </is>
      </c>
      <c r="B7" t="n">
        <v>75</v>
      </c>
      <c r="C7" t="inlineStr">
        <is>
          <t>%</t>
        </is>
      </c>
      <c r="D7" t="inlineStr">
        <is>
          <t>Band-averaged 3.5-5.0 um</t>
        </is>
      </c>
    </row>
    <row r="8">
      <c r="A8" t="inlineStr">
        <is>
          <t>Dark current</t>
        </is>
      </c>
      <c r="B8" t="n">
        <v>1000</v>
      </c>
      <c r="C8" t="inlineStr">
        <is>
          <t>e-/s</t>
        </is>
      </c>
      <c r="D8" t="inlineStr">
        <is>
          <t>At 80 K operating temperature</t>
        </is>
      </c>
    </row>
    <row r="9">
      <c r="A9" t="inlineStr">
        <is>
          <t>Operating temperature</t>
        </is>
      </c>
      <c r="B9" t="n">
        <v>80</v>
      </c>
      <c r="C9" t="inlineStr">
        <is>
          <t>K</t>
        </is>
      </c>
      <c r="D9" t="inlineStr">
        <is>
          <t>Stirling cooler, cold shield f/6 matched</t>
        </is>
      </c>
    </row>
    <row r="10">
      <c r="A10" t="inlineStr">
        <is>
          <t>Read noise</t>
        </is>
      </c>
      <c r="B10" t="n">
        <v>25</v>
      </c>
      <c r="C10" t="inlineStr">
        <is>
          <t>e- rms</t>
        </is>
      </c>
      <c r="D10" t="inlineStr">
        <is>
          <t>CDS, 1 MHz pixel rate</t>
        </is>
      </c>
    </row>
    <row r="11">
      <c r="A11" t="inlineStr">
        <is>
          <t>Full well capacity</t>
        </is>
      </c>
      <c r="B11" t="n">
        <v>100</v>
      </c>
      <c r="C11" t="inlineStr">
        <is>
          <t>ke-</t>
        </is>
      </c>
      <c r="D11" t="inlineStr">
        <is>
          <t>High-flux integration capacitor</t>
        </is>
      </c>
    </row>
    <row r="12">
      <c r="A12" t="inlineStr">
        <is>
          <t>ADC resolution</t>
        </is>
      </c>
      <c r="B12" t="n">
        <v>14</v>
      </c>
      <c r="C12" t="inlineStr">
        <is>
          <t>bits</t>
        </is>
      </c>
      <c r="D12" t="inlineStr">
        <is>
          <t>On-FPA ADC</t>
        </is>
      </c>
    </row>
    <row r="13">
      <c r="A13" t="inlineStr">
        <is>
          <t>System gain</t>
        </is>
      </c>
      <c r="B13" t="n">
        <v>6.1</v>
      </c>
      <c r="C13" t="inlineStr">
        <is>
          <t>e-/DN</t>
        </is>
      </c>
      <c r="D13" t="inlineStr">
        <is>
          <t>Matched: full well / 2^bits</t>
        </is>
      </c>
    </row>
    <row r="14">
      <c r="A14" t="inlineStr">
        <is>
          <t>Nominal integration time</t>
        </is>
      </c>
      <c r="B14" t="n">
        <v>500</v>
      </c>
      <c r="C14" t="inlineStr">
        <is>
          <t>ms</t>
        </is>
      </c>
      <c r="D14" t="inlineStr">
        <is>
          <t>Rate-tracked stare</t>
        </is>
      </c>
    </row>
    <row r="15">
      <c r="A15" t="inlineStr">
        <is>
          <t>Spectral band, min</t>
        </is>
      </c>
      <c r="B15" t="n">
        <v>3500</v>
      </c>
      <c r="C15" t="inlineStr">
        <is>
          <t>nm</t>
        </is>
      </c>
      <c r="D15" t="inlineStr">
        <is>
          <t>Cold filter cut-on</t>
        </is>
      </c>
    </row>
    <row r="16">
      <c r="A16" t="inlineStr">
        <is>
          <t>Spectral band, max</t>
        </is>
      </c>
      <c r="B16" t="n">
        <v>5000</v>
      </c>
      <c r="C16" t="inlineStr">
        <is>
          <t>nm</t>
        </is>
      </c>
      <c r="D16" t="inlineStr">
        <is>
          <t>Cold filter cut-off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8" customWidth="1" min="1" max="1"/>
    <col width="17" customWidth="1" min="2" max="2"/>
    <col width="7" customWidth="1" min="3" max="3"/>
    <col width="72" customWidth="1" min="4" max="4"/>
  </cols>
  <sheetData>
    <row r="1">
      <c r="A1" s="1" t="inlineStr">
        <is>
          <t>LEO -&gt; GEO space-domain-awareness pass</t>
        </is>
      </c>
    </row>
    <row r="2">
      <c r="A2" s="2" t="inlineStr">
        <is>
          <t>Mission planning sheet - altitudes in km, angles in deg</t>
        </is>
      </c>
    </row>
    <row r="3"/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t="inlineStr">
        <is>
          <t>Sensor orbit altitude</t>
        </is>
      </c>
      <c r="B5" t="n">
        <v>500</v>
      </c>
      <c r="C5" t="inlineStr">
        <is>
          <t>km</t>
        </is>
      </c>
      <c r="D5" t="inlineStr">
        <is>
          <t>Circular LEO, host platform</t>
        </is>
      </c>
    </row>
    <row r="6">
      <c r="A6" t="inlineStr">
        <is>
          <t>Target orbit altitude</t>
        </is>
      </c>
      <c r="B6" t="n">
        <v>35786</v>
      </c>
      <c r="C6" t="inlineStr">
        <is>
          <t>km</t>
        </is>
      </c>
      <c r="D6" t="inlineStr">
        <is>
          <t>Geostationary belt</t>
        </is>
      </c>
    </row>
    <row r="7">
      <c r="A7" t="inlineStr">
        <is>
          <t>Sensor-side path zenith (nominal)</t>
        </is>
      </c>
      <c r="B7" t="n">
        <v>0</v>
      </c>
      <c r="C7" t="inlineStr">
        <is>
          <t>deg</t>
        </is>
      </c>
      <c r="D7" t="inlineStr">
        <is>
          <t>Zeta_low: at the LOWER endpoint = the LEO sensor. 0 deg = target at zenith</t>
        </is>
      </c>
    </row>
    <row r="8">
      <c r="A8" t="inlineStr">
        <is>
          <t>Illumination state</t>
        </is>
      </c>
      <c r="B8" t="inlineStr">
        <is>
          <t>night</t>
        </is>
      </c>
      <c r="C8" t="inlineStr">
        <is>
          <t>--</t>
        </is>
      </c>
      <c r="D8" t="inlineStr">
        <is>
          <t>Target in Earth eclipse: thermal-only signature, no solar reflection</t>
        </is>
      </c>
    </row>
    <row r="9">
      <c r="A9" t="inlineStr">
        <is>
          <t>Declared scene class</t>
        </is>
      </c>
      <c r="B9" t="inlineStr">
        <is>
          <t>space_to_space</t>
        </is>
      </c>
      <c r="C9" t="inlineStr">
        <is>
          <t>--</t>
        </is>
      </c>
      <c r="D9" t="inlineStr">
        <is>
          <t>Optional ADR-0011 assertion, validated against the derived class</t>
        </is>
      </c>
    </row>
    <row r="10">
      <c r="A10" t="inlineStr">
        <is>
          <t>Rate-track residual</t>
        </is>
      </c>
      <c r="B10" t="n">
        <v>1</v>
      </c>
      <c r="C10" t="inlineStr">
        <is>
          <t>%</t>
        </is>
      </c>
      <c r="D10" t="inlineStr">
        <is>
          <t>Uncompensated fraction of the open-loop LOS rate</t>
        </is>
      </c>
    </row>
    <row r="11">
      <c r="A11" t="inlineStr">
        <is>
          <t>Detection SNR threshold</t>
        </is>
      </c>
      <c r="B11" t="n">
        <v>5</v>
      </c>
      <c r="C11" t="inlineStr">
        <is>
          <t>--</t>
        </is>
      </c>
      <c r="D11" t="inlineStr">
        <is>
          <t>Programme-standard single-frame detection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71" customWidth="1" min="1" max="1"/>
    <col width="8" customWidth="1" min="2" max="2"/>
    <col width="8" customWidth="1" min="3" max="3"/>
    <col width="62" customWidth="1" min="4" max="4"/>
  </cols>
  <sheetData>
    <row r="1">
      <c r="A1" s="1" t="inlineStr">
        <is>
          <t>Reference GEO communications-satellite bus</t>
        </is>
      </c>
    </row>
    <row r="2">
      <c r="A2" s="2" t="inlineStr">
        <is>
          <t>Signature working group estimate - area in m^2, temperature in deg C</t>
        </is>
      </c>
    </row>
    <row r="3"/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t="inlineStr">
        <is>
          <t>Projected area toward sensor</t>
        </is>
      </c>
      <c r="B5" t="n">
        <v>20</v>
      </c>
      <c r="C5" t="inlineStr">
        <is>
          <t>m^2</t>
        </is>
      </c>
      <c r="D5" t="inlineStr">
        <is>
          <t>3.2 x 2.4 m bus body + edge-on wing structure, nadir aspect</t>
        </is>
      </c>
    </row>
    <row r="6">
      <c r="A6" t="inlineStr">
        <is>
          <t>Mean surface temperature</t>
        </is>
      </c>
      <c r="B6" t="n">
        <v>6.85</v>
      </c>
      <c r="C6" t="inlineStr">
        <is>
          <t>deg C</t>
        </is>
      </c>
      <c r="D6">
        <f> 280 K. Eclipse-cooled MLI/radiator mix, mid-eclipse</f>
        <v/>
      </c>
    </row>
    <row r="7">
      <c r="A7" t="inlineStr">
        <is>
          <t>Broadband emissivity</t>
        </is>
      </c>
      <c r="B7" t="n">
        <v>0.85</v>
      </c>
      <c r="C7" t="inlineStr">
        <is>
          <t>--</t>
        </is>
      </c>
      <c r="D7" t="inlineStr">
        <is>
          <t>Area-weighted: MLI outer Kapton ~0.8, OSR radiator ~0.85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1" t="inlineStr">
        <is>
          <t>Integration-time trade points</t>
        </is>
      </c>
    </row>
    <row r="2">
      <c r="A2" s="2" t="inlineStr">
        <is>
          <t>Smear / SNR trade for the rate-tracked and open-loop (untracked) cases</t>
        </is>
      </c>
    </row>
    <row r="3"/>
    <row r="4">
      <c r="A4" s="4" t="inlineStr">
        <is>
          <t>Integration time [ms]</t>
        </is>
      </c>
    </row>
    <row r="5">
      <c r="A5" t="n">
        <v>5</v>
      </c>
    </row>
    <row r="6">
      <c r="A6" t="n">
        <v>10</v>
      </c>
    </row>
    <row r="7">
      <c r="A7" t="n">
        <v>25</v>
      </c>
    </row>
    <row r="8">
      <c r="A8" t="n">
        <v>50</v>
      </c>
    </row>
    <row r="9">
      <c r="A9" t="n">
        <v>100</v>
      </c>
    </row>
    <row r="10">
      <c r="A10" t="n">
        <v>250</v>
      </c>
    </row>
    <row r="11">
      <c r="A11" t="n">
        <v>500</v>
      </c>
    </row>
    <row r="12">
      <c r="A12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1" t="inlineStr">
        <is>
          <t>Sensor-side path-zenith trade points</t>
        </is>
      </c>
    </row>
    <row r="2">
      <c r="A2" s="2" t="inlineStr">
        <is>
          <t>Zeta_low measured at the LEO sensor (the path's lower endpoint), in deg</t>
        </is>
      </c>
    </row>
    <row r="3"/>
    <row r="4">
      <c r="A4" s="4" t="inlineStr">
        <is>
          <t>Sensor-side path zenith [deg]</t>
        </is>
      </c>
    </row>
    <row r="5">
      <c r="A5" t="n">
        <v>0</v>
      </c>
    </row>
    <row r="6">
      <c r="A6" t="n">
        <v>5</v>
      </c>
    </row>
    <row r="7">
      <c r="A7" t="n">
        <v>10</v>
      </c>
    </row>
    <row r="8">
      <c r="A8" t="n">
        <v>20</v>
      </c>
    </row>
    <row r="9">
      <c r="A9" t="n">
        <v>30</v>
      </c>
    </row>
    <row r="10">
      <c r="A10" t="n">
        <v>45</v>
      </c>
    </row>
    <row r="11">
      <c r="A1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2026-07-28T14:21:55Z</dcterms:created>
  <dcterms:modified xmlns:dcterms="http://purl.org/dc/terms/" xmlns:xsi="http://www.w3.org/2001/XMLSchema-instance" xsi:type="dcterms:W3CDTF">2026-07-28T14:21:55Z</dcterms:modified>
</cp:coreProperties>
</file>