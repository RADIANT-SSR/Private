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era Datasheet" sheetId="1" state="visible" r:id="rId1"/>
    <sheet xmlns:r="http://schemas.openxmlformats.org/officeDocument/2006/relationships" name="Site and Target" sheetId="2" state="visible" r:id="rId2"/>
    <sheet xmlns:r="http://schemas.openxmlformats.org/officeDocument/2006/relationships" name="Pointing Plan" sheetId="3" state="visible" r:id="rId3"/>
    <sheet xmlns:r="http://schemas.openxmlformats.org/officeDocument/2006/relationships" name="MODTRAN Anch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75E97"/>
        <bgColor rgb="00375E97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62" customWidth="1" min="4" max="4"/>
  </cols>
  <sheetData>
    <row r="1">
      <c r="A1" s="1" t="inlineStr">
        <is>
          <t>GT-100 ground MWIR search-and-track camera — vendor datasheet</t>
        </is>
      </c>
    </row>
    <row r="2">
      <c r="A2" t="inlineStr">
        <is>
          <t>Cooled InSb FPA, all-reflective f/2 telescope, tripod-mounted, uncooled housing</t>
        </is>
      </c>
    </row>
    <row r="4">
      <c r="A4" s="2" t="inlineStr">
        <is>
          <t>Telescope</t>
        </is>
      </c>
      <c r="B4" s="2" t="inlineStr"/>
      <c r="C4" s="2" t="inlineStr"/>
      <c r="D4" s="2" t="inlineStr"/>
    </row>
    <row r="5">
      <c r="A5" s="3" t="inlineStr">
        <is>
          <t>Entrance pupil diameter</t>
        </is>
      </c>
      <c r="B5" s="4" t="n">
        <v>100</v>
      </c>
      <c r="C5" s="4" t="inlineStr">
        <is>
          <t>mm</t>
        </is>
      </c>
      <c r="D5" s="3" t="inlineStr">
        <is>
          <t>Clear aperture, unobscured</t>
        </is>
      </c>
    </row>
    <row r="6">
      <c r="A6" s="3" t="inlineStr">
        <is>
          <t>Effective focal length</t>
        </is>
      </c>
      <c r="B6" s="4" t="n">
        <v>200</v>
      </c>
      <c r="C6" s="4" t="inlineStr">
        <is>
          <t>mm</t>
        </is>
      </c>
      <c r="D6" s="3" t="inlineStr">
        <is>
          <t>f/2.0</t>
        </is>
      </c>
    </row>
    <row r="7">
      <c r="A7" s="3" t="inlineStr">
        <is>
          <t>Optical transmission</t>
        </is>
      </c>
      <c r="B7" s="4" t="n">
        <v>75</v>
      </c>
      <c r="C7" s="4" t="inlineStr">
        <is>
          <t>%</t>
        </is>
      </c>
      <c r="D7" s="3" t="inlineStr">
        <is>
          <t>Band-average, 3-5 um</t>
        </is>
      </c>
    </row>
    <row r="8">
      <c r="A8" s="3" t="inlineStr">
        <is>
          <t>Housing temperature</t>
        </is>
      </c>
      <c r="B8" s="4" t="n">
        <v>20</v>
      </c>
      <c r="C8" s="4" t="inlineStr">
        <is>
          <t>degC</t>
        </is>
      </c>
      <c r="D8" s="3" t="inlineStr">
        <is>
          <t>Ambient; NOT cooled</t>
        </is>
      </c>
    </row>
    <row r="9">
      <c r="A9" s="3" t="inlineStr">
        <is>
          <t>Train emissivity</t>
        </is>
      </c>
      <c r="B9" s="4" t="n">
        <v>25</v>
      </c>
      <c r="C9" s="4" t="inlineStr">
        <is>
          <t>%</t>
        </is>
      </c>
      <c r="D9" s="3" t="inlineStr">
        <is>
          <t>All-reflective train: eps = 1 - tau (Kirchhoff); vendor states it explicitly</t>
        </is>
      </c>
    </row>
    <row r="10">
      <c r="A10" s="3" t="inlineStr">
        <is>
          <t>Cold shield efficiency</t>
        </is>
      </c>
      <c r="B10" s="4" t="n">
        <v>90</v>
      </c>
      <c r="C10" s="4" t="inlineStr">
        <is>
          <t>%</t>
        </is>
      </c>
      <c r="D10" s="3" t="inlineStr">
        <is>
          <t>Fraction of the FPA hemisphere BLOCKED from warm optics (vendor convention)</t>
        </is>
      </c>
    </row>
    <row r="12">
      <c r="A12" s="2" t="inlineStr">
        <is>
          <t>Focal plane</t>
        </is>
      </c>
      <c r="B12" s="2" t="inlineStr"/>
      <c r="C12" s="2" t="inlineStr"/>
      <c r="D12" s="2" t="inlineStr"/>
    </row>
    <row r="13">
      <c r="A13" s="3" t="inlineStr">
        <is>
          <t>Pixel pitch</t>
        </is>
      </c>
      <c r="B13" s="4" t="n">
        <v>15</v>
      </c>
      <c r="C13" s="4" t="inlineStr">
        <is>
          <t>um</t>
        </is>
      </c>
      <c r="D13" s="3" t="inlineStr">
        <is>
          <t>Square pixels</t>
        </is>
      </c>
    </row>
    <row r="14">
      <c r="A14" s="3" t="inlineStr">
        <is>
          <t>Quantum efficiency</t>
        </is>
      </c>
      <c r="B14" s="4" t="n">
        <v>75</v>
      </c>
      <c r="C14" s="4" t="inlineStr">
        <is>
          <t>%</t>
        </is>
      </c>
      <c r="D14" s="3" t="inlineStr">
        <is>
          <t>Band-average</t>
        </is>
      </c>
    </row>
    <row r="15">
      <c r="A15" s="3" t="inlineStr">
        <is>
          <t>Dark current</t>
        </is>
      </c>
      <c r="B15" s="4" t="n">
        <v>50000</v>
      </c>
      <c r="C15" s="4" t="inlineStr">
        <is>
          <t>e-/s</t>
        </is>
      </c>
      <c r="D15" s="3" t="inlineStr">
        <is>
          <t>At the stated FPA temperature</t>
        </is>
      </c>
    </row>
    <row r="16">
      <c r="A16" s="3" t="inlineStr">
        <is>
          <t>FPA temperature</t>
        </is>
      </c>
      <c r="B16" s="4" t="n">
        <v>80</v>
      </c>
      <c r="C16" s="4" t="inlineStr">
        <is>
          <t>K</t>
        </is>
      </c>
      <c r="D16" s="3" t="inlineStr">
        <is>
          <t>Stirling cooler</t>
        </is>
      </c>
    </row>
    <row r="17">
      <c r="A17" s="3" t="inlineStr">
        <is>
          <t>Spectral band, low edge</t>
        </is>
      </c>
      <c r="B17" s="4" t="n">
        <v>3000</v>
      </c>
      <c r="C17" s="4" t="inlineStr">
        <is>
          <t>nm</t>
        </is>
      </c>
      <c r="D17" s="3" t="inlineStr">
        <is>
          <t>Cold filter</t>
        </is>
      </c>
    </row>
    <row r="18">
      <c r="A18" s="3" t="inlineStr">
        <is>
          <t>Spectral band, high edge</t>
        </is>
      </c>
      <c r="B18" s="4" t="n">
        <v>5000</v>
      </c>
      <c r="C18" s="4" t="inlineStr">
        <is>
          <t>nm</t>
        </is>
      </c>
      <c r="D18" s="3" t="inlineStr">
        <is>
          <t>Cold filter</t>
        </is>
      </c>
    </row>
    <row r="20">
      <c r="A20" s="2" t="inlineStr">
        <is>
          <t>Readout</t>
        </is>
      </c>
      <c r="B20" s="2" t="inlineStr"/>
      <c r="C20" s="2" t="inlineStr"/>
      <c r="D20" s="2" t="inlineStr"/>
    </row>
    <row r="21">
      <c r="A21" s="3" t="inlineStr">
        <is>
          <t>Integration time</t>
        </is>
      </c>
      <c r="B21" s="4" t="n">
        <v>0.5</v>
      </c>
      <c r="C21" s="4" t="inlineStr">
        <is>
          <t>ms</t>
        </is>
      </c>
      <c r="D21" s="3" t="inlineStr">
        <is>
          <t>Track mode, 1 kHz frame rate</t>
        </is>
      </c>
    </row>
    <row r="22">
      <c r="A22" s="3" t="inlineStr">
        <is>
          <t>Read noise</t>
        </is>
      </c>
      <c r="B22" s="4" t="n">
        <v>250</v>
      </c>
      <c r="C22" s="4" t="inlineStr">
        <is>
          <t>e- rms</t>
        </is>
      </c>
      <c r="D22" s="3" t="inlineStr">
        <is>
          <t>CDS</t>
        </is>
      </c>
    </row>
    <row r="23">
      <c r="A23" s="3" t="inlineStr">
        <is>
          <t>Full well capacity</t>
        </is>
      </c>
      <c r="B23" s="4" t="n">
        <v>11</v>
      </c>
      <c r="C23" s="4" t="inlineStr">
        <is>
          <t>Me-</t>
        </is>
      </c>
      <c r="D23" s="3" t="inlineStr">
        <is>
          <t>High-flux mode</t>
        </is>
      </c>
    </row>
    <row r="24">
      <c r="A24" s="3" t="inlineStr">
        <is>
          <t>System gain</t>
        </is>
      </c>
      <c r="B24" s="4" t="n">
        <v>200</v>
      </c>
      <c r="C24" s="4" t="inlineStr">
        <is>
          <t>e-/DN</t>
        </is>
      </c>
      <c r="D24" s="3" t="inlineStr"/>
    </row>
    <row r="25">
      <c r="A25" s="3" t="inlineStr">
        <is>
          <t>ADC resolution</t>
        </is>
      </c>
      <c r="B25" s="4" t="n">
        <v>16</v>
      </c>
      <c r="C25" s="4" t="inlineStr">
        <is>
          <t>bits</t>
        </is>
      </c>
      <c r="D2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62" customWidth="1" min="4" max="4"/>
  </cols>
  <sheetData>
    <row r="1">
      <c r="A1" s="1" t="inlineStr">
        <is>
          <t>Desert range trial — site conditions and target signature</t>
        </is>
      </c>
    </row>
    <row r="2">
      <c r="A2" t="inlineStr">
        <is>
          <t>Night trial: no solar illumination on any part of the scene</t>
        </is>
      </c>
    </row>
    <row r="4">
      <c r="A4" s="2" t="inlineStr">
        <is>
          <t>Observation site</t>
        </is>
      </c>
      <c r="B4" s="2" t="inlineStr"/>
      <c r="C4" s="2" t="inlineStr"/>
      <c r="D4" s="2" t="inlineStr"/>
    </row>
    <row r="5">
      <c r="A5" s="3" t="inlineStr">
        <is>
          <t>Site altitude</t>
        </is>
      </c>
      <c r="B5" s="4" t="n">
        <v>0</v>
      </c>
      <c r="C5" s="4" t="inlineStr">
        <is>
          <t>km</t>
        </is>
      </c>
      <c r="D5" s="3" t="inlineStr">
        <is>
          <t>Sea-level range; sensor on the ground</t>
        </is>
      </c>
    </row>
    <row r="6">
      <c r="A6" s="3" t="inlineStr">
        <is>
          <t>Standard atmosphere</t>
        </is>
      </c>
      <c r="B6" s="4" t="inlineStr">
        <is>
          <t>midlat_summer</t>
        </is>
      </c>
      <c r="C6" s="4" t="inlineStr">
        <is>
          <t>-</t>
        </is>
      </c>
      <c r="D6" s="3" t="inlineStr">
        <is>
          <t>Radiosonde match</t>
        </is>
      </c>
    </row>
    <row r="7">
      <c r="A7" s="3" t="inlineStr">
        <is>
          <t>Visibility</t>
        </is>
      </c>
      <c r="B7" s="4" t="n">
        <v>23</v>
      </c>
      <c r="C7" s="4" t="inlineStr">
        <is>
          <t>km</t>
        </is>
      </c>
      <c r="D7" s="3" t="inlineStr">
        <is>
          <t>Meteorological range, clear</t>
        </is>
      </c>
    </row>
    <row r="8">
      <c r="A8" s="3" t="inlineStr">
        <is>
          <t>Aerosol model</t>
        </is>
      </c>
      <c r="B8" s="4" t="inlineStr">
        <is>
          <t>rural</t>
        </is>
      </c>
      <c r="C8" s="4" t="inlineStr">
        <is>
          <t>-</t>
        </is>
      </c>
      <c r="D8" s="3" t="inlineStr"/>
    </row>
    <row r="9">
      <c r="A9" s="3" t="inlineStr">
        <is>
          <t>Illumination</t>
        </is>
      </c>
      <c r="B9" s="4" t="inlineStr">
        <is>
          <t>night</t>
        </is>
      </c>
      <c r="C9" s="4" t="inlineStr">
        <is>
          <t>-</t>
        </is>
      </c>
      <c r="D9" s="3" t="inlineStr">
        <is>
          <t>Trial runs 0100-0400 local</t>
        </is>
      </c>
    </row>
    <row r="11">
      <c r="A11" s="2" t="inlineStr">
        <is>
          <t>Target — small turbojet UAS, aft aspect</t>
        </is>
      </c>
      <c r="B11" s="2" t="inlineStr"/>
      <c r="C11" s="2" t="inlineStr"/>
      <c r="D11" s="2" t="inlineStr"/>
    </row>
    <row r="12">
      <c r="A12" s="3" t="inlineStr">
        <is>
          <t>Target altitude</t>
        </is>
      </c>
      <c r="B12" s="4" t="n">
        <v>10</v>
      </c>
      <c r="C12" s="4" t="inlineStr">
        <is>
          <t>km</t>
        </is>
      </c>
      <c r="D12" s="3" t="inlineStr">
        <is>
          <t>Level cruise leg</t>
        </is>
      </c>
    </row>
    <row r="13">
      <c r="A13" s="3" t="inlineStr">
        <is>
          <t>Nozzle exit diameter</t>
        </is>
      </c>
      <c r="B13" s="4" t="n">
        <v>60</v>
      </c>
      <c r="C13" s="4" t="inlineStr">
        <is>
          <t>mm</t>
        </is>
      </c>
      <c r="D13" s="3" t="inlineStr">
        <is>
          <t>Projected disc, aft aspect</t>
        </is>
      </c>
    </row>
    <row r="14">
      <c r="A14" s="3" t="inlineStr">
        <is>
          <t>Nozzle temperature</t>
        </is>
      </c>
      <c r="B14" s="4" t="n">
        <v>276.85</v>
      </c>
      <c r="C14" s="4" t="inlineStr">
        <is>
          <t>degC</t>
        </is>
      </c>
      <c r="D14" s="3">
        <f> 550 K, IR-signature group</f>
        <v/>
      </c>
    </row>
    <row r="15">
      <c r="A15" s="3" t="inlineStr">
        <is>
          <t>Nozzle emissivity</t>
        </is>
      </c>
      <c r="B15" s="4" t="n">
        <v>0.9</v>
      </c>
      <c r="C15" s="4" t="inlineStr">
        <is>
          <t>-</t>
        </is>
      </c>
      <c r="D15" s="3" t="inlineStr">
        <is>
          <t>Oxidised metal, material property</t>
        </is>
      </c>
    </row>
    <row r="17">
      <c r="A17" s="2" t="inlineStr">
        <is>
          <t>Detection criterion</t>
        </is>
      </c>
      <c r="B17" s="2" t="inlineStr"/>
      <c r="C17" s="2" t="inlineStr"/>
      <c r="D17" s="2" t="inlineStr"/>
    </row>
    <row r="18">
      <c r="A18" s="3" t="inlineStr">
        <is>
          <t>SNR threshold</t>
        </is>
      </c>
      <c r="B18" s="4" t="n">
        <v>5</v>
      </c>
      <c r="C18" s="4" t="inlineStr">
        <is>
          <t>-</t>
        </is>
      </c>
      <c r="D18" s="3" t="inlineStr">
        <is>
          <t>Range acceptance criterion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</cols>
  <sheetData>
    <row r="1">
      <c r="A1" s="1" t="inlineStr">
        <is>
          <t>Elevation pointing plan — zenith angle at the sensor (the path's lower endpoint)</t>
        </is>
      </c>
    </row>
    <row r="2">
      <c r="A2" t="inlineStr">
        <is>
          <t>0 deg = straight up; 60 deg = 30 deg above the horizon</t>
        </is>
      </c>
    </row>
    <row r="4">
      <c r="A4" s="5" t="inlineStr">
        <is>
          <t>Zenith angle [deg]</t>
        </is>
      </c>
      <c r="B4" s="5" t="inlineStr">
        <is>
          <t>Elevation [deg]</t>
        </is>
      </c>
      <c r="C4" s="5" t="inlineStr">
        <is>
          <t>Note</t>
        </is>
      </c>
    </row>
    <row r="5">
      <c r="A5" s="4" t="n">
        <v>0</v>
      </c>
      <c r="B5" s="4" t="n">
        <v>90</v>
      </c>
      <c r="C5" s="4" t="inlineStr">
        <is>
          <t>Overhead pass</t>
        </is>
      </c>
    </row>
    <row r="6">
      <c r="A6" s="4" t="n">
        <v>10</v>
      </c>
      <c r="B6" s="4" t="n">
        <v>80</v>
      </c>
      <c r="C6" s="4" t="inlineStr"/>
    </row>
    <row r="7">
      <c r="A7" s="4" t="n">
        <v>20</v>
      </c>
      <c r="B7" s="4" t="n">
        <v>70</v>
      </c>
      <c r="C7" s="4" t="inlineStr"/>
    </row>
    <row r="8">
      <c r="A8" s="4" t="n">
        <v>30</v>
      </c>
      <c r="B8" s="4" t="n">
        <v>60</v>
      </c>
      <c r="C8" s="4" t="inlineStr">
        <is>
          <t>Nominal track geometry</t>
        </is>
      </c>
    </row>
    <row r="9">
      <c r="A9" s="4" t="n">
        <v>40</v>
      </c>
      <c r="B9" s="4" t="n">
        <v>50</v>
      </c>
      <c r="C9" s="4" t="inlineStr"/>
    </row>
    <row r="10">
      <c r="A10" s="4" t="n">
        <v>45</v>
      </c>
      <c r="B10" s="4" t="n">
        <v>45</v>
      </c>
      <c r="C10" s="4" t="inlineStr">
        <is>
          <t>Matches MODTRAN run K6</t>
        </is>
      </c>
    </row>
    <row r="11">
      <c r="A11" s="4" t="n">
        <v>50</v>
      </c>
      <c r="B11" s="4" t="n">
        <v>40</v>
      </c>
      <c r="C11" s="4" t="inlineStr"/>
    </row>
    <row r="12">
      <c r="A12" s="4" t="n">
        <v>60</v>
      </c>
      <c r="B12" s="4" t="n">
        <v>30</v>
      </c>
      <c r="C12" s="4" t="inlineStr">
        <is>
          <t>Lowest elevation in the trial plan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46" customWidth="1" min="5" max="5"/>
  </cols>
  <sheetData>
    <row r="1">
      <c r="A1" s="1" t="inlineStr">
        <is>
          <t>Owner-delivered MODTRAN batch-1 up-looking runs used as truth anchors</t>
        </is>
      </c>
    </row>
    <row r="2">
      <c r="A2" t="inlineStr">
        <is>
          <t>Files: modtran/real_runs/ (gitignored); see docs/plans/modtran_run_matrix.csv</t>
        </is>
      </c>
    </row>
    <row r="4">
      <c r="A4" s="5" t="inlineStr">
        <is>
          <t>Run</t>
        </is>
      </c>
      <c r="B4" s="5" t="inlineStr">
        <is>
          <t>H1 [km]</t>
        </is>
      </c>
      <c r="C4" s="5" t="inlineStr">
        <is>
          <t>H2 [km]</t>
        </is>
      </c>
      <c r="D4" s="5" t="inlineStr">
        <is>
          <t>Path angle [deg]</t>
        </is>
      </c>
      <c r="E4" s="5" t="inlineStr">
        <is>
          <t>Note</t>
        </is>
      </c>
    </row>
    <row r="5">
      <c r="A5" s="4" t="inlineStr">
        <is>
          <t>K1</t>
        </is>
      </c>
      <c r="B5" s="4" t="n">
        <v>0</v>
      </c>
      <c r="C5" s="4" t="n">
        <v>1</v>
      </c>
      <c r="D5" s="4" t="n">
        <v>0</v>
      </c>
      <c r="E5" s="4" t="inlineStr">
        <is>
          <t>Vertical, 1 km column</t>
        </is>
      </c>
    </row>
    <row r="6">
      <c r="A6" s="4" t="inlineStr">
        <is>
          <t>K2</t>
        </is>
      </c>
      <c r="B6" s="4" t="n">
        <v>0</v>
      </c>
      <c r="C6" s="4" t="n">
        <v>3</v>
      </c>
      <c r="D6" s="4" t="n">
        <v>0</v>
      </c>
      <c r="E6" s="4" t="inlineStr">
        <is>
          <t>Vertical, 3 km column</t>
        </is>
      </c>
    </row>
    <row r="7">
      <c r="A7" s="4" t="inlineStr">
        <is>
          <t>K3</t>
        </is>
      </c>
      <c r="B7" s="4" t="n">
        <v>0</v>
      </c>
      <c r="C7" s="4" t="n">
        <v>5</v>
      </c>
      <c r="D7" s="4" t="n">
        <v>0</v>
      </c>
      <c r="E7" s="4" t="inlineStr">
        <is>
          <t>Vertical, 5 km column</t>
        </is>
      </c>
    </row>
    <row r="8">
      <c r="A8" s="4" t="inlineStr">
        <is>
          <t>K4</t>
        </is>
      </c>
      <c r="B8" s="4" t="n">
        <v>0</v>
      </c>
      <c r="C8" s="4" t="n">
        <v>10</v>
      </c>
      <c r="D8" s="4" t="n">
        <v>0</v>
      </c>
      <c r="E8" s="4" t="inlineStr">
        <is>
          <t>Vertical, 10 km column — the nominal target altitude</t>
        </is>
      </c>
    </row>
    <row r="9">
      <c r="A9" s="4" t="inlineStr">
        <is>
          <t>K5</t>
        </is>
      </c>
      <c r="B9" s="4" t="n">
        <v>0</v>
      </c>
      <c r="C9" s="4" t="n">
        <v>20</v>
      </c>
      <c r="D9" s="4" t="n">
        <v>0</v>
      </c>
      <c r="E9" s="4" t="inlineStr">
        <is>
          <t>Vertical, 20 km column</t>
        </is>
      </c>
    </row>
    <row r="10">
      <c r="A10" s="4" t="inlineStr">
        <is>
          <t>K6</t>
        </is>
      </c>
      <c r="B10" s="4" t="n">
        <v>0</v>
      </c>
      <c r="C10" s="4" t="n">
        <v>10</v>
      </c>
      <c r="D10" s="4" t="n">
        <v>45</v>
      </c>
      <c r="E10" s="4" t="inlineStr">
        <is>
          <t>45 deg slant twin of K4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2026-07-28T14:20:10Z</dcterms:created>
  <dcterms:modified xmlns:dcterms="http://purl.org/dc/terms/" xmlns:xsi="http://www.w3.org/2001/XMLSchema-instance" xsi:type="dcterms:W3CDTF">2026-07-28T14:20:10Z</dcterms:modified>
</cp:coreProperties>
</file>