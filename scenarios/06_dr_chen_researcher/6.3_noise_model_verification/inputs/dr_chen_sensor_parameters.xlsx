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Parameters" sheetId="1" state="visible" r:id="rId1"/>
    <sheet xmlns:r="http://schemas.openxmlformats.org/officeDocument/2006/relationships" name="Hand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Noise Model Verification — Sensor Parameters</t>
        </is>
      </c>
    </row>
    <row r="2">
      <c r="A2" s="2" t="inlineStr">
        <is>
          <t>Dr. Chen — April 2026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Optics</t>
        </is>
      </c>
      <c r="B5" s="4" t="inlineStr"/>
      <c r="C5" s="4" t="inlineStr"/>
      <c r="D5" s="4" t="inlineStr"/>
    </row>
    <row r="6">
      <c r="A6" s="5" t="inlineStr">
        <is>
          <t>Aperture diameter</t>
        </is>
      </c>
      <c r="B6" s="6" t="n">
        <v>30</v>
      </c>
      <c r="C6" s="6" t="inlineStr">
        <is>
          <t>cm</t>
        </is>
      </c>
      <c r="D6" s="5" t="inlineStr">
        <is>
          <t>Customer spec — circular, unobscured</t>
        </is>
      </c>
    </row>
    <row r="7">
      <c r="A7" s="5" t="inlineStr">
        <is>
          <t>Focal ratio (f/#)</t>
        </is>
      </c>
      <c r="B7" s="6" t="n">
        <v>4</v>
      </c>
      <c r="C7" s="6" t="inlineStr">
        <is>
          <t>—</t>
        </is>
      </c>
      <c r="D7" s="5" t="inlineStr">
        <is>
          <t>f/4 design</t>
        </is>
      </c>
    </row>
    <row r="8">
      <c r="A8" s="5" t="inlineStr">
        <is>
          <t>Optical transmission</t>
        </is>
      </c>
      <c r="B8" s="6" t="n">
        <v>70</v>
      </c>
      <c r="C8" s="6" t="inlineStr">
        <is>
          <t>%</t>
        </is>
      </c>
      <c r="D8" s="5" t="inlineStr">
        <is>
          <t>End-to-end, includes all elements</t>
        </is>
      </c>
    </row>
    <row r="9">
      <c r="A9" s="5" t="inlineStr">
        <is>
          <t>Number of optical elements</t>
        </is>
      </c>
      <c r="B9" s="6" t="n">
        <v>4</v>
      </c>
      <c r="C9" s="6" t="inlineStr">
        <is>
          <t>—</t>
        </is>
      </c>
      <c r="D9" s="5" t="inlineStr">
        <is>
          <t>2 mirrors + 2 lenses</t>
        </is>
      </c>
    </row>
    <row r="10">
      <c r="A10" s="5" t="inlineStr">
        <is>
          <t>Optics temperature</t>
        </is>
      </c>
      <c r="B10" s="6" t="n">
        <v>293</v>
      </c>
      <c r="C10" s="6" t="inlineStr">
        <is>
          <t>K</t>
        </is>
      </c>
      <c r="D10" s="5" t="inlineStr">
        <is>
          <t>Room temperature bench test</t>
        </is>
      </c>
    </row>
    <row r="11">
      <c r="A11" s="4" t="inlineStr">
        <is>
          <t>Detector</t>
        </is>
      </c>
      <c r="B11" s="4" t="inlineStr"/>
      <c r="C11" s="4" t="inlineStr"/>
      <c r="D11" s="4" t="inlineStr"/>
    </row>
    <row r="12">
      <c r="A12" s="5" t="inlineStr">
        <is>
          <t>Pixel pitch</t>
        </is>
      </c>
      <c r="B12" s="6" t="n">
        <v>18</v>
      </c>
      <c r="C12" s="6" t="inlineStr">
        <is>
          <t>µm</t>
        </is>
      </c>
      <c r="D12" s="5" t="inlineStr">
        <is>
          <t>Square pixels</t>
        </is>
      </c>
    </row>
    <row r="13">
      <c r="A13" s="5" t="inlineStr">
        <is>
          <t>Quantum efficiency</t>
        </is>
      </c>
      <c r="B13" s="6" t="n">
        <v>70</v>
      </c>
      <c r="C13" s="6" t="inlineStr">
        <is>
          <t>%</t>
        </is>
      </c>
      <c r="D13" s="5" t="inlineStr">
        <is>
          <t>Spec sheet average over band</t>
        </is>
      </c>
    </row>
    <row r="14">
      <c r="A14" s="5" t="inlineStr">
        <is>
          <t>Dark current</t>
        </is>
      </c>
      <c r="B14" s="6" t="n">
        <v>100</v>
      </c>
      <c r="C14" s="6" t="inlineStr">
        <is>
          <t>e⁻/s</t>
        </is>
      </c>
      <c r="D14" s="5" t="inlineStr">
        <is>
          <t>At 77 K operating temp</t>
        </is>
      </c>
    </row>
    <row r="15">
      <c r="A15" s="5" t="inlineStr">
        <is>
          <t>Operating temperature</t>
        </is>
      </c>
      <c r="B15" s="6" t="n">
        <v>77</v>
      </c>
      <c r="C15" s="6" t="inlineStr">
        <is>
          <t>K</t>
        </is>
      </c>
      <c r="D15" s="5" t="inlineStr">
        <is>
          <t>LN2 cooled</t>
        </is>
      </c>
    </row>
    <row r="16">
      <c r="A16" s="5" t="inlineStr">
        <is>
          <t>Full well capacity</t>
        </is>
      </c>
      <c r="B16" s="6" t="n">
        <v>2000000</v>
      </c>
      <c r="C16" s="6" t="inlineStr">
        <is>
          <t>e⁻</t>
        </is>
      </c>
      <c r="D16" s="5" t="inlineStr">
        <is>
          <t>Large-format InSb</t>
        </is>
      </c>
    </row>
    <row r="17">
      <c r="A17" s="4" t="inlineStr">
        <is>
          <t>Readout Electronics</t>
        </is>
      </c>
      <c r="B17" s="4" t="inlineStr"/>
      <c r="C17" s="4" t="inlineStr"/>
      <c r="D17" s="4" t="inlineStr"/>
    </row>
    <row r="18">
      <c r="A18" s="5" t="inlineStr">
        <is>
          <t>Read noise</t>
        </is>
      </c>
      <c r="B18" s="6" t="n">
        <v>20</v>
      </c>
      <c r="C18" s="6" t="inlineStr">
        <is>
          <t>e⁻ RMS</t>
        </is>
      </c>
      <c r="D18" s="5" t="inlineStr">
        <is>
          <t>After CDS</t>
        </is>
      </c>
    </row>
    <row r="19">
      <c r="A19" s="5" t="inlineStr">
        <is>
          <t>ADC bits</t>
        </is>
      </c>
      <c r="B19" s="6" t="n">
        <v>14</v>
      </c>
      <c r="C19" s="6" t="inlineStr">
        <is>
          <t>bits</t>
        </is>
      </c>
      <c r="D19" s="5" t="inlineStr"/>
    </row>
    <row r="20">
      <c r="A20" s="5" t="inlineStr">
        <is>
          <t>System gain</t>
        </is>
      </c>
      <c r="B20" s="6" t="n">
        <v>1</v>
      </c>
      <c r="C20" s="6" t="inlineStr">
        <is>
          <t>e⁻/DN</t>
        </is>
      </c>
      <c r="D20" s="5" t="inlineStr">
        <is>
          <t>Unity gain assumed</t>
        </is>
      </c>
    </row>
    <row r="21">
      <c r="A21" s="4" t="inlineStr">
        <is>
          <t>Scene / Target</t>
        </is>
      </c>
      <c r="B21" s="4" t="inlineStr"/>
      <c r="C21" s="4" t="inlineStr"/>
      <c r="D21" s="4" t="inlineStr"/>
    </row>
    <row r="22">
      <c r="A22" s="5" t="inlineStr">
        <is>
          <t>Target temperature</t>
        </is>
      </c>
      <c r="B22" s="6" t="n">
        <v>300</v>
      </c>
      <c r="C22" s="6" t="inlineStr">
        <is>
          <t>K</t>
        </is>
      </c>
      <c r="D22" s="5" t="inlineStr">
        <is>
          <t>Blackbody calibration source</t>
        </is>
      </c>
    </row>
    <row r="23">
      <c r="A23" s="5" t="inlineStr">
        <is>
          <t>Target emissivity</t>
        </is>
      </c>
      <c r="B23" s="6" t="n">
        <v>0.95</v>
      </c>
      <c r="C23" s="6" t="inlineStr">
        <is>
          <t>—</t>
        </is>
      </c>
      <c r="D23" s="5" t="inlineStr">
        <is>
          <t>Near-ideal blackbody</t>
        </is>
      </c>
    </row>
    <row r="24">
      <c r="A24" s="5" t="inlineStr">
        <is>
          <t>Background temperature</t>
        </is>
      </c>
      <c r="B24" s="6" t="n">
        <v>290</v>
      </c>
      <c r="C24" s="6" t="inlineStr">
        <is>
          <t>K</t>
        </is>
      </c>
      <c r="D24" s="5" t="inlineStr">
        <is>
          <t>Lab ambient wall</t>
        </is>
      </c>
    </row>
    <row r="25">
      <c r="A25" s="5" t="inlineStr">
        <is>
          <t>Background emissivity</t>
        </is>
      </c>
      <c r="B25" s="6" t="n">
        <v>0.95</v>
      </c>
      <c r="C25" s="6" t="inlineStr">
        <is>
          <t>—</t>
        </is>
      </c>
      <c r="D25" s="5" t="inlineStr">
        <is>
          <t>Painted wall</t>
        </is>
      </c>
    </row>
    <row r="26">
      <c r="A26" s="4" t="inlineStr">
        <is>
          <t>Spectral / Integration</t>
        </is>
      </c>
      <c r="B26" s="4" t="inlineStr"/>
      <c r="C26" s="4" t="inlineStr"/>
      <c r="D26" s="4" t="inlineStr"/>
    </row>
    <row r="27">
      <c r="A27" s="5" t="inlineStr">
        <is>
          <t>Band minimum</t>
        </is>
      </c>
      <c r="B27" s="6" t="n">
        <v>3.5</v>
      </c>
      <c r="C27" s="6" t="inlineStr">
        <is>
          <t>µm</t>
        </is>
      </c>
      <c r="D27" s="5" t="inlineStr">
        <is>
          <t>Cold filter cut-on</t>
        </is>
      </c>
    </row>
    <row r="28">
      <c r="A28" s="5" t="inlineStr">
        <is>
          <t>Band maximum</t>
        </is>
      </c>
      <c r="B28" s="6" t="n">
        <v>5</v>
      </c>
      <c r="C28" s="6" t="inlineStr">
        <is>
          <t>µm</t>
        </is>
      </c>
      <c r="D28" s="5" t="inlineStr">
        <is>
          <t>Cold filter cut-off</t>
        </is>
      </c>
    </row>
    <row r="29">
      <c r="A29" s="5" t="inlineStr">
        <is>
          <t>Integration time</t>
        </is>
      </c>
      <c r="B29" s="6" t="n">
        <v>5</v>
      </c>
      <c r="C29" s="6" t="inlineStr">
        <is>
          <t>ms</t>
        </is>
      </c>
      <c r="D29" s="5" t="inlineStr">
        <is>
          <t>Single frame</t>
        </is>
      </c>
    </row>
    <row r="30">
      <c r="A30" s="5" t="inlineStr">
        <is>
          <t>Number of TDI stages</t>
        </is>
      </c>
      <c r="B30" s="6" t="n">
        <v>1</v>
      </c>
      <c r="C30" s="6" t="inlineStr">
        <is>
          <t>—</t>
        </is>
      </c>
      <c r="D30" s="5" t="inlineStr">
        <is>
          <t>Staring mode, no TDI</t>
        </is>
      </c>
    </row>
    <row r="31">
      <c r="A31" s="4" t="inlineStr">
        <is>
          <t>Geometry</t>
        </is>
      </c>
      <c r="B31" s="4" t="inlineStr"/>
      <c r="C31" s="4" t="inlineStr"/>
      <c r="D31" s="4" t="inlineStr"/>
    </row>
    <row r="32">
      <c r="A32" s="5" t="inlineStr">
        <is>
          <t>Sensor altitude</t>
        </is>
      </c>
      <c r="B32" s="6" t="n">
        <v>8</v>
      </c>
      <c r="C32" s="6" t="inlineStr">
        <is>
          <t>km</t>
        </is>
      </c>
      <c r="D32" s="5" t="inlineStr">
        <is>
          <t>Airborne platform</t>
        </is>
      </c>
    </row>
    <row r="33">
      <c r="A33" s="5" t="inlineStr">
        <is>
          <t>Look angle</t>
        </is>
      </c>
      <c r="B33" s="6" t="n">
        <v>0</v>
      </c>
      <c r="C33" s="6" t="inlineStr">
        <is>
          <t>deg</t>
        </is>
      </c>
      <c r="D33" s="5" t="inlineStr">
        <is>
          <t>Nadir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  <col width="18" customWidth="1" min="4" max="4"/>
    <col width="15" customWidth="1" min="5" max="5"/>
    <col width="40" customWidth="1" min="6" max="6"/>
  </cols>
  <sheetData>
    <row r="1">
      <c r="A1" s="1" t="inlineStr">
        <is>
          <t>Noise Model Verification — Hand Calculations</t>
        </is>
      </c>
    </row>
    <row r="2">
      <c r="A2" s="2" t="inlineStr">
        <is>
          <t>Fill in 'Hand Calc' column, then compare to RADIANT output</t>
        </is>
      </c>
    </row>
    <row r="4">
      <c r="A4" s="3" t="inlineStr">
        <is>
          <t>Noise Term</t>
        </is>
      </c>
      <c r="B4" s="3" t="inlineStr">
        <is>
          <t>Equation</t>
        </is>
      </c>
      <c r="C4" s="3" t="inlineStr">
        <is>
          <t>Hand Calc (e⁻)</t>
        </is>
      </c>
      <c r="D4" s="3" t="inlineStr">
        <is>
          <t>RADIANT (e⁻)</t>
        </is>
      </c>
      <c r="E4" s="3" t="inlineStr">
        <is>
          <t>% Error</t>
        </is>
      </c>
      <c r="F4" s="3" t="inlineStr">
        <is>
          <t>Notes</t>
        </is>
      </c>
    </row>
    <row r="5">
      <c r="A5" s="5" t="inlineStr">
        <is>
          <t>Signal shot noise</t>
        </is>
      </c>
      <c r="B5" s="5" t="inlineStr">
        <is>
          <t>sqrt(S_target)</t>
        </is>
      </c>
      <c r="C5" s="5" t="inlineStr"/>
      <c r="D5" s="5" t="inlineStr"/>
      <c r="E5" s="7">
        <f>IF(AND(C5&lt;&gt;"",D5&lt;&gt;""), ABS(C5-D5)/C5*100, "")</f>
        <v/>
      </c>
      <c r="F5" s="5" t="inlineStr">
        <is>
          <t>Fill from result.noise_terms</t>
        </is>
      </c>
    </row>
    <row r="6">
      <c r="A6" s="5" t="inlineStr">
        <is>
          <t>Background shot noise</t>
        </is>
      </c>
      <c r="B6" s="5" t="inlineStr">
        <is>
          <t>sqrt(S_background)</t>
        </is>
      </c>
      <c r="C6" s="5" t="inlineStr"/>
      <c r="D6" s="5" t="inlineStr"/>
      <c r="E6" s="7">
        <f>IF(AND(C6&lt;&gt;"",D6&lt;&gt;""), ABS(C6-D6)/C6*100, "")</f>
        <v/>
      </c>
      <c r="F6" s="5" t="inlineStr">
        <is>
          <t>Scene background photons</t>
        </is>
      </c>
    </row>
    <row r="7">
      <c r="A7" s="5" t="inlineStr">
        <is>
          <t>Dark current shot noise</t>
        </is>
      </c>
      <c r="B7" s="5" t="inlineStr">
        <is>
          <t>sqrt(J_dark × t_int)</t>
        </is>
      </c>
      <c r="C7" s="5" t="inlineStr"/>
      <c r="D7" s="5" t="inlineStr"/>
      <c r="E7" s="7">
        <f>IF(AND(C7&lt;&gt;"",D7&lt;&gt;""), ABS(C7-D7)/C7*100, "")</f>
        <v/>
      </c>
      <c r="F7" s="5" t="inlineStr"/>
    </row>
    <row r="8">
      <c r="A8" s="5" t="inlineStr">
        <is>
          <t>Read noise</t>
        </is>
      </c>
      <c r="B8" s="5" t="inlineStr">
        <is>
          <t>σ_read (given)</t>
        </is>
      </c>
      <c r="C8" s="5" t="inlineStr"/>
      <c r="D8" s="5" t="inlineStr"/>
      <c r="E8" s="7">
        <f>IF(AND(C8&lt;&gt;"",D8&lt;&gt;""), ABS(C8-D8)/C8*100, "")</f>
        <v/>
      </c>
      <c r="F8" s="5" t="inlineStr">
        <is>
          <t>Fixed value from spec</t>
        </is>
      </c>
    </row>
    <row r="9">
      <c r="A9" s="5" t="inlineStr">
        <is>
          <t>Quantization noise</t>
        </is>
      </c>
      <c r="B9" s="5" t="inlineStr">
        <is>
          <t>gain / sqrt(12)</t>
        </is>
      </c>
      <c r="C9" s="5" t="inlineStr"/>
      <c r="D9" s="5" t="inlineStr"/>
      <c r="E9" s="7">
        <f>IF(AND(C9&lt;&gt;"",D9&lt;&gt;""), ABS(C9-D9)/C9*100, "")</f>
        <v/>
      </c>
      <c r="F9" s="5" t="inlineStr">
        <is>
          <t>ADC quantization</t>
        </is>
      </c>
    </row>
    <row r="10">
      <c r="A10" s="5" t="inlineStr">
        <is>
          <t>Nearfield emission shot</t>
        </is>
      </c>
      <c r="B10" s="5" t="inlineStr">
        <is>
          <t>sqrt(S_nearfield)</t>
        </is>
      </c>
      <c r="C10" s="5" t="inlineStr"/>
      <c r="D10" s="5" t="inlineStr"/>
      <c r="E10" s="7">
        <f>IF(AND(C10&lt;&gt;"",D10&lt;&gt;""), ABS(C10-D10)/C10*100, "")</f>
        <v/>
      </c>
      <c r="F10" s="5" t="inlineStr">
        <is>
          <t>Warm optics self-emission</t>
        </is>
      </c>
    </row>
    <row r="11">
      <c r="A11" s="5" t="inlineStr">
        <is>
          <t>1/f noise</t>
        </is>
      </c>
      <c r="B11" s="5" t="inlineStr">
        <is>
          <t>See noise model doc</t>
        </is>
      </c>
      <c r="C11" s="5" t="inlineStr"/>
      <c r="D11" s="5" t="inlineStr"/>
      <c r="E11" s="7">
        <f>IF(AND(C11&lt;&gt;"",D11&lt;&gt;""), ABS(C11-D11)/C11*100, "")</f>
        <v/>
      </c>
      <c r="F11" s="5" t="inlineStr">
        <is>
          <t>May be zero if not configured</t>
        </is>
      </c>
    </row>
    <row r="12">
      <c r="A12" s="5" t="inlineStr">
        <is>
          <t>Clock-induced charge</t>
        </is>
      </c>
      <c r="B12" s="5" t="inlineStr">
        <is>
          <t>CIC × n_reads</t>
        </is>
      </c>
      <c r="C12" s="5" t="inlineStr"/>
      <c r="D12" s="5" t="inlineStr"/>
      <c r="E12" s="7">
        <f>IF(AND(C12&lt;&gt;"",D12&lt;&gt;""), ABS(C12-D12)/C12*100, "")</f>
        <v/>
      </c>
      <c r="F12" s="5" t="inlineStr">
        <is>
          <t>May be zero for InSb</t>
        </is>
      </c>
    </row>
    <row r="13">
      <c r="A13" s="5" t="inlineStr">
        <is>
          <t>ADC nonlinearity</t>
        </is>
      </c>
      <c r="B13" s="5" t="inlineStr">
        <is>
          <t>See model</t>
        </is>
      </c>
      <c r="C13" s="5" t="inlineStr"/>
      <c r="D13" s="5" t="inlineStr"/>
      <c r="E13" s="7">
        <f>IF(AND(C13&lt;&gt;"",D13&lt;&gt;""), ABS(C13-D13)/C13*100, "")</f>
        <v/>
      </c>
      <c r="F13" s="5" t="inlineStr"/>
    </row>
    <row r="14">
      <c r="A14" s="5" t="inlineStr">
        <is>
          <t>Total noise (RSS)</t>
        </is>
      </c>
      <c r="B14" s="5" t="inlineStr">
        <is>
          <t>sqrt(Σ σ_i²)</t>
        </is>
      </c>
      <c r="C14" s="5" t="inlineStr"/>
      <c r="D14" s="5" t="inlineStr"/>
      <c r="E14" s="7">
        <f>IF(AND(C14&lt;&gt;"",D14&lt;&gt;""), ABS(C14-D14)/C14*100, "")</f>
        <v/>
      </c>
      <c r="F14" s="5" t="inlineStr">
        <is>
          <t>Root sum of squares</t>
        </is>
      </c>
    </row>
    <row r="16">
      <c r="A16" s="8" t="inlineStr">
        <is>
          <t>Derived Quantities</t>
        </is>
      </c>
    </row>
    <row r="17">
      <c r="A17" s="5" t="inlineStr">
        <is>
          <t>Focal length</t>
        </is>
      </c>
      <c r="B17" s="5" t="inlineStr">
        <is>
          <t>f/# × D_aperture</t>
        </is>
      </c>
      <c r="C17" s="5" t="inlineStr">
        <is>
          <t>m</t>
        </is>
      </c>
    </row>
    <row r="18">
      <c r="A18" s="5" t="inlineStr">
        <is>
          <t>Pixel IFOV</t>
        </is>
      </c>
      <c r="B18" s="5" t="inlineStr">
        <is>
          <t>p_pitch / f</t>
        </is>
      </c>
      <c r="C18" s="5" t="inlineStr">
        <is>
          <t>µrad</t>
        </is>
      </c>
    </row>
    <row r="19">
      <c r="A19" s="5" t="inlineStr">
        <is>
          <t>Pixel solid angle (Ω)</t>
        </is>
      </c>
      <c r="B19" s="5" t="inlineStr">
        <is>
          <t>IFOV²</t>
        </is>
      </c>
      <c r="C19" s="5" t="inlineStr">
        <is>
          <t>sr</t>
        </is>
      </c>
    </row>
    <row r="20">
      <c r="A20" s="5" t="inlineStr">
        <is>
          <t>Collecting area</t>
        </is>
      </c>
      <c r="B20" s="5" t="inlineStr">
        <is>
          <t>π/4 × D²</t>
        </is>
      </c>
      <c r="C20" s="5" t="inlineStr">
        <is>
          <t>m²</t>
        </is>
      </c>
    </row>
    <row r="21">
      <c r="A21" s="5" t="inlineStr">
        <is>
          <t>f/# (Ω form)</t>
        </is>
      </c>
      <c r="B21" s="5" t="inlineStr">
        <is>
          <t>π / (4 × f/#²)</t>
        </is>
      </c>
      <c r="C21" s="5" t="inlineStr">
        <is>
          <t>sr</t>
        </is>
      </c>
    </row>
    <row r="22">
      <c r="A22" s="5" t="inlineStr">
        <is>
          <t>Signal electrons (target)</t>
        </is>
      </c>
      <c r="B22" s="5" t="inlineStr">
        <is>
          <t>L_target × τ_optics × Ω × A_pix × QE × t_int / E_photon</t>
        </is>
      </c>
      <c r="C22" s="5" t="inlineStr">
        <is>
          <t>e⁻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2026-04-15T13:54:55Z</dcterms:created>
  <dcterms:modified xmlns:dcterms="http://purl.org/dc/terms/" xmlns:xsi="http://www.w3.org/2001/XMLSchema-instance" xsi:type="dcterms:W3CDTF">2026-04-15T13:54:55Z</dcterms:modified>
</cp:coreProperties>
</file>